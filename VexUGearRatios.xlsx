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pear\문서\"/>
    </mc:Choice>
  </mc:AlternateContent>
  <xr:revisionPtr revIDLastSave="0" documentId="13_ncr:1_{462830AC-3A68-4E5F-A504-94603A4E56F2}" xr6:coauthVersionLast="47" xr6:coauthVersionMax="47" xr10:uidLastSave="{00000000-0000-0000-0000-000000000000}"/>
  <bookViews>
    <workbookView xWindow="-110" yWindow="-110" windowWidth="25820" windowHeight="15500" xr2:uid="{35014A5A-67A2-4580-9904-AAC402A6C2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D3" i="1"/>
  <c r="D4" i="1"/>
  <c r="E4" i="1" s="1"/>
  <c r="F4" i="1" s="1"/>
  <c r="G4" i="1" s="1"/>
  <c r="D5" i="1"/>
  <c r="E5" i="1" s="1"/>
  <c r="F5" i="1" s="1"/>
  <c r="G5" i="1" s="1"/>
  <c r="D6" i="1"/>
  <c r="E6" i="1" s="1"/>
  <c r="F6" i="1" s="1"/>
  <c r="G6" i="1" s="1"/>
  <c r="D7" i="1"/>
  <c r="E7" i="1" s="1"/>
  <c r="F7" i="1" s="1"/>
  <c r="G7" i="1" s="1"/>
  <c r="D8" i="1"/>
  <c r="E8" i="1" s="1"/>
  <c r="F8" i="1" s="1"/>
  <c r="G8" i="1" s="1"/>
  <c r="D9" i="1"/>
  <c r="E9" i="1" s="1"/>
  <c r="F9" i="1" s="1"/>
  <c r="G9" i="1" s="1"/>
  <c r="D10" i="1"/>
  <c r="E10" i="1" s="1"/>
  <c r="F10" i="1" s="1"/>
  <c r="G10" i="1" s="1"/>
  <c r="D11" i="1"/>
  <c r="E11" i="1" s="1"/>
  <c r="F11" i="1" s="1"/>
  <c r="G11" i="1" s="1"/>
  <c r="D12" i="1"/>
  <c r="E12" i="1" s="1"/>
  <c r="F12" i="1" s="1"/>
  <c r="G12" i="1" s="1"/>
  <c r="D13" i="1"/>
  <c r="E13" i="1" s="1"/>
  <c r="F13" i="1" s="1"/>
  <c r="G13" i="1" s="1"/>
  <c r="D14" i="1"/>
  <c r="E14" i="1" s="1"/>
  <c r="F14" i="1" s="1"/>
  <c r="G14" i="1" s="1"/>
  <c r="D15" i="1"/>
  <c r="E15" i="1" s="1"/>
  <c r="F15" i="1" s="1"/>
  <c r="G15" i="1" s="1"/>
  <c r="D16" i="1"/>
  <c r="E16" i="1" s="1"/>
  <c r="F16" i="1" s="1"/>
  <c r="G16" i="1" s="1"/>
  <c r="D17" i="1"/>
  <c r="E17" i="1" s="1"/>
  <c r="F17" i="1" s="1"/>
  <c r="G17" i="1" s="1"/>
  <c r="D18" i="1"/>
  <c r="E18" i="1" s="1"/>
  <c r="F18" i="1" s="1"/>
  <c r="G18" i="1" s="1"/>
  <c r="D19" i="1"/>
  <c r="E19" i="1" s="1"/>
  <c r="F19" i="1" s="1"/>
  <c r="G19" i="1" s="1"/>
  <c r="D20" i="1"/>
  <c r="D21" i="1"/>
  <c r="D22" i="1"/>
  <c r="E22" i="1" s="1"/>
  <c r="F22" i="1" s="1"/>
  <c r="G22" i="1" s="1"/>
  <c r="D23" i="1"/>
  <c r="E23" i="1" s="1"/>
  <c r="F23" i="1" s="1"/>
  <c r="G23" i="1" s="1"/>
  <c r="D24" i="1"/>
  <c r="E24" i="1" s="1"/>
  <c r="F24" i="1" s="1"/>
  <c r="G24" i="1" s="1"/>
  <c r="D25" i="1"/>
  <c r="E25" i="1" s="1"/>
  <c r="F25" i="1" s="1"/>
  <c r="G25" i="1" s="1"/>
  <c r="D26" i="1"/>
  <c r="E26" i="1" s="1"/>
  <c r="F26" i="1" s="1"/>
  <c r="G26" i="1" s="1"/>
  <c r="D27" i="1"/>
  <c r="E27" i="1" s="1"/>
  <c r="F27" i="1" s="1"/>
  <c r="G27" i="1" s="1"/>
  <c r="D28" i="1"/>
  <c r="E28" i="1" s="1"/>
  <c r="F28" i="1" s="1"/>
  <c r="G28" i="1" s="1"/>
  <c r="D29" i="1"/>
  <c r="E29" i="1" s="1"/>
  <c r="F29" i="1" s="1"/>
  <c r="G29" i="1" s="1"/>
  <c r="D30" i="1"/>
  <c r="E30" i="1" s="1"/>
  <c r="F30" i="1" s="1"/>
  <c r="G30" i="1" s="1"/>
  <c r="D31" i="1"/>
  <c r="E31" i="1" s="1"/>
  <c r="F31" i="1" s="1"/>
  <c r="G31" i="1" s="1"/>
  <c r="D32" i="1"/>
  <c r="E32" i="1" s="1"/>
  <c r="F32" i="1" s="1"/>
  <c r="G32" i="1" s="1"/>
  <c r="D33" i="1"/>
  <c r="E33" i="1" s="1"/>
  <c r="F33" i="1" s="1"/>
  <c r="G33" i="1" s="1"/>
  <c r="D34" i="1"/>
  <c r="E34" i="1" s="1"/>
  <c r="F34" i="1" s="1"/>
  <c r="G34" i="1" s="1"/>
  <c r="D35" i="1"/>
  <c r="E35" i="1" s="1"/>
  <c r="F35" i="1" s="1"/>
  <c r="G35" i="1" s="1"/>
  <c r="D36" i="1"/>
  <c r="D37" i="1"/>
  <c r="D38" i="1"/>
  <c r="E38" i="1" s="1"/>
  <c r="F38" i="1" s="1"/>
  <c r="G38" i="1" s="1"/>
  <c r="D39" i="1"/>
  <c r="E39" i="1" s="1"/>
  <c r="F39" i="1" s="1"/>
  <c r="G39" i="1" s="1"/>
  <c r="D40" i="1"/>
  <c r="E40" i="1" s="1"/>
  <c r="F40" i="1" s="1"/>
  <c r="G40" i="1" s="1"/>
  <c r="D41" i="1"/>
  <c r="E41" i="1" s="1"/>
  <c r="F41" i="1" s="1"/>
  <c r="G41" i="1" s="1"/>
  <c r="D42" i="1"/>
  <c r="E42" i="1" s="1"/>
  <c r="F42" i="1" s="1"/>
  <c r="G42" i="1" s="1"/>
  <c r="D43" i="1"/>
  <c r="E43" i="1" s="1"/>
  <c r="F43" i="1" s="1"/>
  <c r="G43" i="1" s="1"/>
  <c r="D44" i="1"/>
  <c r="E44" i="1" s="1"/>
  <c r="F44" i="1" s="1"/>
  <c r="G44" i="1" s="1"/>
  <c r="D45" i="1"/>
  <c r="E45" i="1" s="1"/>
  <c r="F45" i="1" s="1"/>
  <c r="G45" i="1" s="1"/>
  <c r="D46" i="1"/>
  <c r="E46" i="1" s="1"/>
  <c r="F46" i="1" s="1"/>
  <c r="G46" i="1" s="1"/>
  <c r="D47" i="1"/>
  <c r="E47" i="1" s="1"/>
  <c r="F47" i="1" s="1"/>
  <c r="G47" i="1" s="1"/>
  <c r="D48" i="1"/>
  <c r="E48" i="1" s="1"/>
  <c r="F48" i="1" s="1"/>
  <c r="G48" i="1" s="1"/>
  <c r="D49" i="1"/>
  <c r="E49" i="1" s="1"/>
  <c r="F49" i="1" s="1"/>
  <c r="G49" i="1" s="1"/>
  <c r="D2" i="1"/>
  <c r="E2" i="1" s="1"/>
  <c r="F2" i="1" s="1"/>
  <c r="G2" i="1" s="1"/>
  <c r="E3" i="1"/>
  <c r="F3" i="1" s="1"/>
  <c r="G3" i="1" s="1"/>
  <c r="E20" i="1"/>
  <c r="F20" i="1" s="1"/>
  <c r="G20" i="1" s="1"/>
  <c r="E21" i="1"/>
  <c r="F21" i="1" s="1"/>
  <c r="G21" i="1" s="1"/>
  <c r="E36" i="1"/>
  <c r="F36" i="1" s="1"/>
  <c r="G36" i="1" s="1"/>
  <c r="E37" i="1"/>
  <c r="F37" i="1" s="1"/>
  <c r="G37" i="1" s="1"/>
</calcChain>
</file>

<file path=xl/sharedStrings.xml><?xml version="1.0" encoding="utf-8"?>
<sst xmlns="http://schemas.openxmlformats.org/spreadsheetml/2006/main" count="8" uniqueCount="8">
  <si>
    <t>Ratio</t>
  </si>
  <si>
    <t>Multiplier</t>
  </si>
  <si>
    <t>100 RPM</t>
  </si>
  <si>
    <t>200 RPM</t>
  </si>
  <si>
    <t>600 RPM</t>
  </si>
  <si>
    <t>Driven</t>
  </si>
  <si>
    <t>Driver</t>
  </si>
  <si>
    <t>Center Spacing (In)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</si>
</sst>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#\ ???/???"/>
    <numFmt numFmtId="171" formatCode="0.000"/>
    <numFmt numFmtId="172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8" fontId="0" fillId="0" borderId="0" xfId="0" applyNumberFormat="1"/>
    <xf numFmtId="171" fontId="1" fillId="0" borderId="0" xfId="0" applyNumberFormat="1" applyFont="1"/>
    <xf numFmtId="171" fontId="0" fillId="0" borderId="0" xfId="0" applyNumberFormat="1"/>
    <xf numFmtId="172" fontId="1" fillId="0" borderId="0" xfId="0" applyNumberFormat="1" applyFont="1"/>
    <xf numFmtId="172" fontId="0" fillId="0" borderId="0" xfId="0" applyNumberFormat="1"/>
  </cellXfs>
  <cellStyles count="1">
    <cellStyle name="Normal" xfId="0" builtinId="0"/>
  </cellStyles>
  <dxfs count="7">
    <dxf>
      <numFmt numFmtId="171" formatCode="0.000"/>
    </dxf>
    <dxf>
      <numFmt numFmtId="172" formatCode="0.0"/>
    </dxf>
    <dxf>
      <numFmt numFmtId="172" formatCode="0.0"/>
    </dxf>
    <dxf>
      <numFmt numFmtId="172" formatCode="0.0"/>
    </dxf>
    <dxf>
      <numFmt numFmtId="172" formatCode="0.0"/>
    </dxf>
    <dxf>
      <numFmt numFmtId="171" formatCode="0.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F62F2F-681C-4CBB-A920-ECE199A7801B}" name="Table1" displayName="Table1" ref="A1:H49" totalsRowShown="0" headerRowDxfId="6">
  <autoFilter ref="A1:H49" xr:uid="{5BF62F2F-681C-4CBB-A920-ECE199A7801B}"/>
  <sortState xmlns:xlrd2="http://schemas.microsoft.com/office/spreadsheetml/2017/richdata2" ref="A2:H49">
    <sortCondition ref="C1:C49"/>
  </sortState>
  <tableColumns count="8">
    <tableColumn id="7" xr3:uid="{0D1EC3F1-5AE6-429D-9E41-66ED9BF26A60}" name="Driver" dataDxfId="1"/>
    <tableColumn id="1" xr3:uid="{A9D814FB-8631-4EBC-8CED-6172C409B9C0}" name="Driven"/>
    <tableColumn id="2" xr3:uid="{774BB438-9B4D-406E-9E0D-B3E7E50065C4}" name="Ratio" dataDxfId="5"/>
    <tableColumn id="3" xr3:uid="{7D68C20D-7195-4A9C-A167-FEA1F4CDCADC}" name="Multiplier">
      <calculatedColumnFormula>Table1[[#This Row],[Ratio]]</calculatedColumnFormula>
    </tableColumn>
    <tableColumn id="4" xr3:uid="{A041343D-1BF3-4681-ADB1-0C40E2BA892A}" name="100 RPM" dataDxfId="4">
      <calculatedColumnFormula>100*Table1[[#This Row],[Multiplier]]</calculatedColumnFormula>
    </tableColumn>
    <tableColumn id="5" xr3:uid="{A10FE966-A9FC-497D-A53E-26673CDF297A}" name="200 RPM" dataDxfId="3">
      <calculatedColumnFormula>2*Table1[[#This Row],[100 RPM]]</calculatedColumnFormula>
    </tableColumn>
    <tableColumn id="6" xr3:uid="{05735F13-9E3E-4864-98F2-A81F3FE1386A}" name="600 RPM" dataDxfId="2">
      <calculatedColumnFormula>3*Table1[[#This Row],[200 RPM]]</calculatedColumnFormula>
    </tableColumn>
    <tableColumn id="8" xr3:uid="{A1DB467D-BC0F-484A-B1BC-423BEFC17555}" name="Center Spacing (In)" dataDxfId="0">
      <calculatedColumnFormula>(Table1[[#This Row],[Driver]]+Table1[[#This Row],[Driven]])/48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1CA89-5D0D-4425-9742-3F11CF4BEBBA}">
  <dimension ref="A1:H49"/>
  <sheetViews>
    <sheetView tabSelected="1" workbookViewId="0">
      <selection activeCell="K21" sqref="K21"/>
    </sheetView>
  </sheetViews>
  <sheetFormatPr defaultRowHeight="14.5" x14ac:dyDescent="0.35"/>
  <cols>
    <col min="1" max="1" width="8.08984375" bestFit="1" customWidth="1"/>
    <col min="2" max="2" width="11.81640625" style="4" bestFit="1" customWidth="1"/>
    <col min="3" max="3" width="10.90625" customWidth="1"/>
    <col min="4" max="6" width="9.90625" style="6" customWidth="1"/>
    <col min="8" max="8" width="19.26953125" style="4" bestFit="1" customWidth="1"/>
  </cols>
  <sheetData>
    <row r="1" spans="1:8" s="1" customFormat="1" x14ac:dyDescent="0.35">
      <c r="A1" s="1" t="s">
        <v>6</v>
      </c>
      <c r="B1" s="1" t="s">
        <v>5</v>
      </c>
      <c r="C1" s="3" t="s">
        <v>0</v>
      </c>
      <c r="D1" s="1" t="s">
        <v>1</v>
      </c>
      <c r="E1" s="5" t="s">
        <v>2</v>
      </c>
      <c r="F1" s="5" t="s">
        <v>3</v>
      </c>
      <c r="G1" s="5" t="s">
        <v>4</v>
      </c>
      <c r="H1" s="3" t="s">
        <v>7</v>
      </c>
    </row>
    <row r="2" spans="1:8" x14ac:dyDescent="0.35">
      <c r="A2" s="6">
        <v>12</v>
      </c>
      <c r="B2">
        <v>84</v>
      </c>
      <c r="C2" s="4">
        <v>0.14285714285714285</v>
      </c>
      <c r="D2" s="2">
        <f>Table1[[#This Row],[Ratio]]</f>
        <v>0.14285714285714285</v>
      </c>
      <c r="E2" s="6">
        <f>100*Table1[[#This Row],[Multiplier]]</f>
        <v>14.285714285714285</v>
      </c>
      <c r="F2" s="6">
        <f>2*Table1[[#This Row],[100 RPM]]</f>
        <v>28.571428571428569</v>
      </c>
      <c r="G2" s="6">
        <f>3*Table1[[#This Row],[200 RPM]]</f>
        <v>85.714285714285708</v>
      </c>
      <c r="H2" s="4">
        <f>(Table1[[#This Row],[Driver]]+Table1[[#This Row],[Driven]])/48</f>
        <v>2</v>
      </c>
    </row>
    <row r="3" spans="1:8" x14ac:dyDescent="0.35">
      <c r="A3" s="6">
        <v>12</v>
      </c>
      <c r="B3">
        <v>72</v>
      </c>
      <c r="C3" s="4">
        <v>0.16666666666666666</v>
      </c>
      <c r="D3" s="2">
        <f>Table1[[#This Row],[Ratio]]</f>
        <v>0.16666666666666666</v>
      </c>
      <c r="E3" s="6">
        <f>100*Table1[[#This Row],[Multiplier]]</f>
        <v>16.666666666666664</v>
      </c>
      <c r="F3" s="6">
        <f>2*Table1[[#This Row],[100 RPM]]</f>
        <v>33.333333333333329</v>
      </c>
      <c r="G3" s="6">
        <f>3*Table1[[#This Row],[200 RPM]]</f>
        <v>99.999999999999986</v>
      </c>
      <c r="H3" s="4">
        <f>(Table1[[#This Row],[Driver]]+Table1[[#This Row],[Driven]])/48</f>
        <v>1.75</v>
      </c>
    </row>
    <row r="4" spans="1:8" x14ac:dyDescent="0.35">
      <c r="A4" s="6">
        <v>12</v>
      </c>
      <c r="B4">
        <v>66</v>
      </c>
      <c r="C4" s="4">
        <v>0.18181818181818182</v>
      </c>
      <c r="D4" s="2">
        <f>Table1[[#This Row],[Ratio]]</f>
        <v>0.18181818181818182</v>
      </c>
      <c r="E4" s="6">
        <f>100*Table1[[#This Row],[Multiplier]]</f>
        <v>18.181818181818183</v>
      </c>
      <c r="F4" s="6">
        <f>2*Table1[[#This Row],[100 RPM]]</f>
        <v>36.363636363636367</v>
      </c>
      <c r="G4" s="6">
        <f>3*Table1[[#This Row],[200 RPM]]</f>
        <v>109.09090909090909</v>
      </c>
      <c r="H4" s="4">
        <f>(Table1[[#This Row],[Driver]]+Table1[[#This Row],[Driven]])/48</f>
        <v>1.625</v>
      </c>
    </row>
    <row r="5" spans="1:8" x14ac:dyDescent="0.35">
      <c r="A5" s="6">
        <v>12</v>
      </c>
      <c r="B5">
        <v>60</v>
      </c>
      <c r="C5" s="4">
        <v>0.2</v>
      </c>
      <c r="D5" s="2">
        <f>Table1[[#This Row],[Ratio]]</f>
        <v>0.2</v>
      </c>
      <c r="E5" s="6">
        <f>100*Table1[[#This Row],[Multiplier]]</f>
        <v>20</v>
      </c>
      <c r="F5" s="6">
        <f>2*Table1[[#This Row],[100 RPM]]</f>
        <v>40</v>
      </c>
      <c r="G5" s="6">
        <f>3*Table1[[#This Row],[200 RPM]]</f>
        <v>120</v>
      </c>
      <c r="H5" s="4">
        <f>(Table1[[#This Row],[Driver]]+Table1[[#This Row],[Driven]])/48</f>
        <v>1.5</v>
      </c>
    </row>
    <row r="6" spans="1:8" x14ac:dyDescent="0.35">
      <c r="A6" s="6">
        <v>12</v>
      </c>
      <c r="B6">
        <v>54</v>
      </c>
      <c r="C6" s="4">
        <v>0.22222222222222221</v>
      </c>
      <c r="D6" s="2">
        <f>Table1[[#This Row],[Ratio]]</f>
        <v>0.22222222222222221</v>
      </c>
      <c r="E6" s="6">
        <f>100*Table1[[#This Row],[Multiplier]]</f>
        <v>22.222222222222221</v>
      </c>
      <c r="F6" s="6">
        <f>2*Table1[[#This Row],[100 RPM]]</f>
        <v>44.444444444444443</v>
      </c>
      <c r="G6" s="6">
        <f>3*Table1[[#This Row],[200 RPM]]</f>
        <v>133.33333333333331</v>
      </c>
      <c r="H6" s="4">
        <f>(Table1[[#This Row],[Driver]]+Table1[[#This Row],[Driven]])/48</f>
        <v>1.375</v>
      </c>
    </row>
    <row r="7" spans="1:8" x14ac:dyDescent="0.35">
      <c r="A7" s="6">
        <v>12</v>
      </c>
      <c r="B7">
        <v>48</v>
      </c>
      <c r="C7" s="4">
        <v>0.25</v>
      </c>
      <c r="D7" s="2">
        <f>Table1[[#This Row],[Ratio]]</f>
        <v>0.25</v>
      </c>
      <c r="E7" s="6">
        <f>100*Table1[[#This Row],[Multiplier]]</f>
        <v>25</v>
      </c>
      <c r="F7" s="6">
        <f>2*Table1[[#This Row],[100 RPM]]</f>
        <v>50</v>
      </c>
      <c r="G7" s="6">
        <f>3*Table1[[#This Row],[200 RPM]]</f>
        <v>150</v>
      </c>
      <c r="H7" s="4">
        <f>(Table1[[#This Row],[Driver]]+Table1[[#This Row],[Driven]])/48</f>
        <v>1.25</v>
      </c>
    </row>
    <row r="8" spans="1:8" x14ac:dyDescent="0.35">
      <c r="A8" s="6">
        <v>12</v>
      </c>
      <c r="B8">
        <v>42</v>
      </c>
      <c r="C8" s="4">
        <v>0.2857142857142857</v>
      </c>
      <c r="D8" s="2">
        <f>Table1[[#This Row],[Ratio]]</f>
        <v>0.2857142857142857</v>
      </c>
      <c r="E8" s="6">
        <f>100*Table1[[#This Row],[Multiplier]]</f>
        <v>28.571428571428569</v>
      </c>
      <c r="F8" s="6">
        <f>2*Table1[[#This Row],[100 RPM]]</f>
        <v>57.142857142857139</v>
      </c>
      <c r="G8" s="6">
        <f>3*Table1[[#This Row],[200 RPM]]</f>
        <v>171.42857142857142</v>
      </c>
      <c r="H8" s="4">
        <f>(Table1[[#This Row],[Driver]]+Table1[[#This Row],[Driven]])/48</f>
        <v>1.125</v>
      </c>
    </row>
    <row r="9" spans="1:8" x14ac:dyDescent="0.35">
      <c r="A9" s="6">
        <v>18</v>
      </c>
      <c r="B9">
        <v>60</v>
      </c>
      <c r="C9" s="4">
        <v>0.3</v>
      </c>
      <c r="D9" s="2">
        <f>Table1[[#This Row],[Ratio]]</f>
        <v>0.3</v>
      </c>
      <c r="E9" s="6">
        <f>100*Table1[[#This Row],[Multiplier]]</f>
        <v>30</v>
      </c>
      <c r="F9" s="6">
        <f>2*Table1[[#This Row],[100 RPM]]</f>
        <v>60</v>
      </c>
      <c r="G9" s="6">
        <f>3*Table1[[#This Row],[200 RPM]]</f>
        <v>180</v>
      </c>
      <c r="H9" s="4">
        <f>(Table1[[#This Row],[Driver]]+Table1[[#This Row],[Driven]])/48</f>
        <v>1.625</v>
      </c>
    </row>
    <row r="10" spans="1:8" x14ac:dyDescent="0.35">
      <c r="A10" s="6">
        <v>12</v>
      </c>
      <c r="B10">
        <v>36</v>
      </c>
      <c r="C10" s="4">
        <v>0.33333333333333331</v>
      </c>
      <c r="D10" s="2">
        <f>Table1[[#This Row],[Ratio]]</f>
        <v>0.33333333333333331</v>
      </c>
      <c r="E10" s="6">
        <f>100*Table1[[#This Row],[Multiplier]]</f>
        <v>33.333333333333329</v>
      </c>
      <c r="F10" s="6">
        <f>2*Table1[[#This Row],[100 RPM]]</f>
        <v>66.666666666666657</v>
      </c>
      <c r="G10" s="6">
        <f>3*Table1[[#This Row],[200 RPM]]</f>
        <v>199.99999999999997</v>
      </c>
      <c r="H10" s="4">
        <f>(Table1[[#This Row],[Driver]]+Table1[[#This Row],[Driven]])/48</f>
        <v>1</v>
      </c>
    </row>
    <row r="11" spans="1:8" x14ac:dyDescent="0.35">
      <c r="A11" s="6">
        <v>24</v>
      </c>
      <c r="B11">
        <v>66</v>
      </c>
      <c r="C11" s="4">
        <v>0.36363636363636365</v>
      </c>
      <c r="D11" s="2">
        <f>Table1[[#This Row],[Ratio]]</f>
        <v>0.36363636363636365</v>
      </c>
      <c r="E11" s="6">
        <f>100*Table1[[#This Row],[Multiplier]]</f>
        <v>36.363636363636367</v>
      </c>
      <c r="F11" s="6">
        <f>2*Table1[[#This Row],[100 RPM]]</f>
        <v>72.727272727272734</v>
      </c>
      <c r="G11" s="6">
        <f>3*Table1[[#This Row],[200 RPM]]</f>
        <v>218.18181818181819</v>
      </c>
      <c r="H11" s="4">
        <f>(Table1[[#This Row],[Driver]]+Table1[[#This Row],[Driven]])/48</f>
        <v>1.875</v>
      </c>
    </row>
    <row r="12" spans="1:8" x14ac:dyDescent="0.35">
      <c r="A12" s="6">
        <v>24</v>
      </c>
      <c r="B12">
        <v>60</v>
      </c>
      <c r="C12" s="4">
        <v>0.4</v>
      </c>
      <c r="D12" s="2">
        <f>Table1[[#This Row],[Ratio]]</f>
        <v>0.4</v>
      </c>
      <c r="E12" s="6">
        <f>100*Table1[[#This Row],[Multiplier]]</f>
        <v>40</v>
      </c>
      <c r="F12" s="6">
        <f>2*Table1[[#This Row],[100 RPM]]</f>
        <v>80</v>
      </c>
      <c r="G12" s="6">
        <f>3*Table1[[#This Row],[200 RPM]]</f>
        <v>240</v>
      </c>
      <c r="H12" s="4">
        <f>(Table1[[#This Row],[Driver]]+Table1[[#This Row],[Driven]])/48</f>
        <v>1.75</v>
      </c>
    </row>
    <row r="13" spans="1:8" x14ac:dyDescent="0.35">
      <c r="A13" s="6">
        <v>36</v>
      </c>
      <c r="B13">
        <v>84</v>
      </c>
      <c r="C13" s="4">
        <v>0.42857142857142855</v>
      </c>
      <c r="D13" s="2">
        <f>Table1[[#This Row],[Ratio]]</f>
        <v>0.42857142857142855</v>
      </c>
      <c r="E13" s="6">
        <f>100*Table1[[#This Row],[Multiplier]]</f>
        <v>42.857142857142854</v>
      </c>
      <c r="F13" s="6">
        <f>2*Table1[[#This Row],[100 RPM]]</f>
        <v>85.714285714285708</v>
      </c>
      <c r="G13" s="6">
        <f>3*Table1[[#This Row],[200 RPM]]</f>
        <v>257.14285714285711</v>
      </c>
      <c r="H13" s="4">
        <f>(Table1[[#This Row],[Driver]]+Table1[[#This Row],[Driven]])/48</f>
        <v>2.5</v>
      </c>
    </row>
    <row r="14" spans="1:8" x14ac:dyDescent="0.35">
      <c r="A14" s="6">
        <v>30</v>
      </c>
      <c r="B14">
        <v>66</v>
      </c>
      <c r="C14" s="4">
        <v>0.45454545454545453</v>
      </c>
      <c r="D14" s="2">
        <f>Table1[[#This Row],[Ratio]]</f>
        <v>0.45454545454545453</v>
      </c>
      <c r="E14" s="6">
        <f>100*Table1[[#This Row],[Multiplier]]</f>
        <v>45.454545454545453</v>
      </c>
      <c r="F14" s="6">
        <f>2*Table1[[#This Row],[100 RPM]]</f>
        <v>90.909090909090907</v>
      </c>
      <c r="G14" s="6">
        <f>3*Table1[[#This Row],[200 RPM]]</f>
        <v>272.72727272727275</v>
      </c>
      <c r="H14" s="4">
        <f>(Table1[[#This Row],[Driver]]+Table1[[#This Row],[Driven]])/48</f>
        <v>2</v>
      </c>
    </row>
    <row r="15" spans="1:8" x14ac:dyDescent="0.35">
      <c r="A15" s="6">
        <v>12</v>
      </c>
      <c r="B15">
        <v>24</v>
      </c>
      <c r="C15" s="4">
        <v>0.5</v>
      </c>
      <c r="D15" s="2">
        <f>Table1[[#This Row],[Ratio]]</f>
        <v>0.5</v>
      </c>
      <c r="E15" s="6">
        <f>100*Table1[[#This Row],[Multiplier]]</f>
        <v>50</v>
      </c>
      <c r="F15" s="6">
        <f>2*Table1[[#This Row],[100 RPM]]</f>
        <v>100</v>
      </c>
      <c r="G15" s="6">
        <f>3*Table1[[#This Row],[200 RPM]]</f>
        <v>300</v>
      </c>
      <c r="H15" s="4">
        <f>(Table1[[#This Row],[Driver]]+Table1[[#This Row],[Driven]])/48</f>
        <v>0.75</v>
      </c>
    </row>
    <row r="16" spans="1:8" x14ac:dyDescent="0.35">
      <c r="A16" s="6">
        <v>36</v>
      </c>
      <c r="B16">
        <v>66</v>
      </c>
      <c r="C16" s="4">
        <v>0.54545454545454541</v>
      </c>
      <c r="D16" s="2">
        <f>Table1[[#This Row],[Ratio]]</f>
        <v>0.54545454545454541</v>
      </c>
      <c r="E16" s="6">
        <f>100*Table1[[#This Row],[Multiplier]]</f>
        <v>54.54545454545454</v>
      </c>
      <c r="F16" s="6">
        <f>2*Table1[[#This Row],[100 RPM]]</f>
        <v>109.09090909090908</v>
      </c>
      <c r="G16" s="6">
        <f>3*Table1[[#This Row],[200 RPM]]</f>
        <v>327.27272727272725</v>
      </c>
      <c r="H16" s="4">
        <f>(Table1[[#This Row],[Driver]]+Table1[[#This Row],[Driven]])/48</f>
        <v>2.125</v>
      </c>
    </row>
    <row r="17" spans="1:8" x14ac:dyDescent="0.35">
      <c r="A17" s="6">
        <v>48</v>
      </c>
      <c r="B17">
        <v>84</v>
      </c>
      <c r="C17" s="4">
        <v>0.5714285714285714</v>
      </c>
      <c r="D17" s="2">
        <f>Table1[[#This Row],[Ratio]]</f>
        <v>0.5714285714285714</v>
      </c>
      <c r="E17" s="6">
        <f>100*Table1[[#This Row],[Multiplier]]</f>
        <v>57.142857142857139</v>
      </c>
      <c r="F17" s="6">
        <f>2*Table1[[#This Row],[100 RPM]]</f>
        <v>114.28571428571428</v>
      </c>
      <c r="G17" s="6">
        <f>3*Table1[[#This Row],[200 RPM]]</f>
        <v>342.85714285714283</v>
      </c>
      <c r="H17" s="4">
        <f>(Table1[[#This Row],[Driver]]+Table1[[#This Row],[Driven]])/48</f>
        <v>2.75</v>
      </c>
    </row>
    <row r="18" spans="1:8" x14ac:dyDescent="0.35">
      <c r="A18" s="6">
        <v>36</v>
      </c>
      <c r="B18">
        <v>60</v>
      </c>
      <c r="C18" s="4">
        <v>0.6</v>
      </c>
      <c r="D18" s="2">
        <f>Table1[[#This Row],[Ratio]]</f>
        <v>0.6</v>
      </c>
      <c r="E18" s="6">
        <f>100*Table1[[#This Row],[Multiplier]]</f>
        <v>60</v>
      </c>
      <c r="F18" s="6">
        <f>2*Table1[[#This Row],[100 RPM]]</f>
        <v>120</v>
      </c>
      <c r="G18" s="6">
        <f>3*Table1[[#This Row],[200 RPM]]</f>
        <v>360</v>
      </c>
      <c r="H18" s="4">
        <f>(Table1[[#This Row],[Driver]]+Table1[[#This Row],[Driven]])/48</f>
        <v>2</v>
      </c>
    </row>
    <row r="19" spans="1:8" x14ac:dyDescent="0.35">
      <c r="A19" s="6">
        <v>42</v>
      </c>
      <c r="B19">
        <v>66</v>
      </c>
      <c r="C19" s="4">
        <v>0.63636363636363635</v>
      </c>
      <c r="D19" s="2">
        <f>Table1[[#This Row],[Ratio]]</f>
        <v>0.63636363636363635</v>
      </c>
      <c r="E19" s="6">
        <f>100*Table1[[#This Row],[Multiplier]]</f>
        <v>63.636363636363633</v>
      </c>
      <c r="F19" s="6">
        <f>2*Table1[[#This Row],[100 RPM]]</f>
        <v>127.27272727272727</v>
      </c>
      <c r="G19" s="6">
        <f>3*Table1[[#This Row],[200 RPM]]</f>
        <v>381.81818181818181</v>
      </c>
      <c r="H19" s="4">
        <f>(Table1[[#This Row],[Driver]]+Table1[[#This Row],[Driven]])/48</f>
        <v>2.25</v>
      </c>
    </row>
    <row r="20" spans="1:8" x14ac:dyDescent="0.35">
      <c r="A20" s="6">
        <v>24</v>
      </c>
      <c r="B20">
        <v>36</v>
      </c>
      <c r="C20" s="4">
        <v>0.66666666666666663</v>
      </c>
      <c r="D20" s="2">
        <f>Table1[[#This Row],[Ratio]]</f>
        <v>0.66666666666666663</v>
      </c>
      <c r="E20" s="6">
        <f>100*Table1[[#This Row],[Multiplier]]</f>
        <v>66.666666666666657</v>
      </c>
      <c r="F20" s="6">
        <f>2*Table1[[#This Row],[100 RPM]]</f>
        <v>133.33333333333331</v>
      </c>
      <c r="G20" s="6">
        <f>3*Table1[[#This Row],[200 RPM]]</f>
        <v>399.99999999999994</v>
      </c>
      <c r="H20" s="4">
        <f>(Table1[[#This Row],[Driver]]+Table1[[#This Row],[Driven]])/48</f>
        <v>1.25</v>
      </c>
    </row>
    <row r="21" spans="1:8" x14ac:dyDescent="0.35">
      <c r="A21" s="6">
        <v>48</v>
      </c>
      <c r="B21">
        <v>66</v>
      </c>
      <c r="C21" s="4">
        <v>0.72727272727272729</v>
      </c>
      <c r="D21" s="2">
        <f>Table1[[#This Row],[Ratio]]</f>
        <v>0.72727272727272729</v>
      </c>
      <c r="E21" s="6">
        <f>100*Table1[[#This Row],[Multiplier]]</f>
        <v>72.727272727272734</v>
      </c>
      <c r="F21" s="6">
        <f>2*Table1[[#This Row],[100 RPM]]</f>
        <v>145.45454545454547</v>
      </c>
      <c r="G21" s="6">
        <f>3*Table1[[#This Row],[200 RPM]]</f>
        <v>436.36363636363637</v>
      </c>
      <c r="H21" s="4">
        <f>(Table1[[#This Row],[Driver]]+Table1[[#This Row],[Driven]])/48</f>
        <v>2.375</v>
      </c>
    </row>
    <row r="22" spans="1:8" x14ac:dyDescent="0.35">
      <c r="A22" s="6">
        <v>36</v>
      </c>
      <c r="B22">
        <v>48</v>
      </c>
      <c r="C22" s="4">
        <v>0.75</v>
      </c>
      <c r="D22" s="2">
        <f>Table1[[#This Row],[Ratio]]</f>
        <v>0.75</v>
      </c>
      <c r="E22" s="6">
        <f>100*Table1[[#This Row],[Multiplier]]</f>
        <v>75</v>
      </c>
      <c r="F22" s="6">
        <f>2*Table1[[#This Row],[100 RPM]]</f>
        <v>150</v>
      </c>
      <c r="G22" s="6">
        <f>3*Table1[[#This Row],[200 RPM]]</f>
        <v>450</v>
      </c>
      <c r="H22" s="4">
        <f>(Table1[[#This Row],[Driver]]+Table1[[#This Row],[Driven]])/48</f>
        <v>1.75</v>
      </c>
    </row>
    <row r="23" spans="1:8" x14ac:dyDescent="0.35">
      <c r="A23" s="6">
        <v>48</v>
      </c>
      <c r="B23">
        <v>60</v>
      </c>
      <c r="C23" s="4">
        <v>0.8</v>
      </c>
      <c r="D23" s="2">
        <f>Table1[[#This Row],[Ratio]]</f>
        <v>0.8</v>
      </c>
      <c r="E23" s="6">
        <f>100*Table1[[#This Row],[Multiplier]]</f>
        <v>80</v>
      </c>
      <c r="F23" s="6">
        <f>2*Table1[[#This Row],[100 RPM]]</f>
        <v>160</v>
      </c>
      <c r="G23" s="6">
        <f>3*Table1[[#This Row],[200 RPM]]</f>
        <v>480</v>
      </c>
      <c r="H23" s="4">
        <f>(Table1[[#This Row],[Driver]]+Table1[[#This Row],[Driven]])/48</f>
        <v>2.25</v>
      </c>
    </row>
    <row r="24" spans="1:8" x14ac:dyDescent="0.35">
      <c r="A24" s="6">
        <v>54</v>
      </c>
      <c r="B24">
        <v>66</v>
      </c>
      <c r="C24" s="4">
        <v>0.81818181818181823</v>
      </c>
      <c r="D24" s="2">
        <f>Table1[[#This Row],[Ratio]]</f>
        <v>0.81818181818181823</v>
      </c>
      <c r="E24" s="6">
        <f>100*Table1[[#This Row],[Multiplier]]</f>
        <v>81.818181818181827</v>
      </c>
      <c r="F24" s="6">
        <f>2*Table1[[#This Row],[100 RPM]]</f>
        <v>163.63636363636365</v>
      </c>
      <c r="G24" s="6">
        <f>3*Table1[[#This Row],[200 RPM]]</f>
        <v>490.90909090909099</v>
      </c>
      <c r="H24" s="4">
        <f>(Table1[[#This Row],[Driver]]+Table1[[#This Row],[Driven]])/48</f>
        <v>2.5</v>
      </c>
    </row>
    <row r="25" spans="1:8" x14ac:dyDescent="0.35">
      <c r="A25" s="6">
        <v>60</v>
      </c>
      <c r="B25">
        <v>72</v>
      </c>
      <c r="C25" s="4">
        <v>0.83333333333333337</v>
      </c>
      <c r="D25" s="2">
        <f>Table1[[#This Row],[Ratio]]</f>
        <v>0.83333333333333337</v>
      </c>
      <c r="E25" s="6">
        <f>100*Table1[[#This Row],[Multiplier]]</f>
        <v>83.333333333333343</v>
      </c>
      <c r="F25" s="6">
        <f>2*Table1[[#This Row],[100 RPM]]</f>
        <v>166.66666666666669</v>
      </c>
      <c r="G25" s="6">
        <f>3*Table1[[#This Row],[200 RPM]]</f>
        <v>500.00000000000006</v>
      </c>
      <c r="H25" s="4">
        <f>(Table1[[#This Row],[Driver]]+Table1[[#This Row],[Driven]])/48</f>
        <v>2.75</v>
      </c>
    </row>
    <row r="26" spans="1:8" x14ac:dyDescent="0.35">
      <c r="A26" s="6">
        <v>72</v>
      </c>
      <c r="B26">
        <v>84</v>
      </c>
      <c r="C26" s="4">
        <v>0.8571428571428571</v>
      </c>
      <c r="D26" s="2">
        <f>Table1[[#This Row],[Ratio]]</f>
        <v>0.8571428571428571</v>
      </c>
      <c r="E26" s="6">
        <f>100*Table1[[#This Row],[Multiplier]]</f>
        <v>85.714285714285708</v>
      </c>
      <c r="F26" s="6">
        <f>2*Table1[[#This Row],[100 RPM]]</f>
        <v>171.42857142857142</v>
      </c>
      <c r="G26" s="6">
        <f>3*Table1[[#This Row],[200 RPM]]</f>
        <v>514.28571428571422</v>
      </c>
      <c r="H26" s="4">
        <f>(Table1[[#This Row],[Driver]]+Table1[[#This Row],[Driven]])/48</f>
        <v>3.25</v>
      </c>
    </row>
    <row r="27" spans="1:8" x14ac:dyDescent="0.35">
      <c r="A27" s="6">
        <v>60</v>
      </c>
      <c r="B27">
        <v>66</v>
      </c>
      <c r="C27" s="4">
        <v>0.90909090909090906</v>
      </c>
      <c r="D27" s="2">
        <f>Table1[[#This Row],[Ratio]]</f>
        <v>0.90909090909090906</v>
      </c>
      <c r="E27" s="6">
        <f>100*Table1[[#This Row],[Multiplier]]</f>
        <v>90.909090909090907</v>
      </c>
      <c r="F27" s="6">
        <f>2*Table1[[#This Row],[100 RPM]]</f>
        <v>181.81818181818181</v>
      </c>
      <c r="G27" s="6">
        <f>3*Table1[[#This Row],[200 RPM]]</f>
        <v>545.4545454545455</v>
      </c>
      <c r="H27" s="4">
        <f>(Table1[[#This Row],[Driver]]+Table1[[#This Row],[Driven]])/48</f>
        <v>2.625</v>
      </c>
    </row>
    <row r="28" spans="1:8" x14ac:dyDescent="0.35">
      <c r="A28" s="6">
        <v>12</v>
      </c>
      <c r="B28">
        <v>12</v>
      </c>
      <c r="C28" s="4">
        <v>1</v>
      </c>
      <c r="D28" s="2">
        <f>Table1[[#This Row],[Ratio]]</f>
        <v>1</v>
      </c>
      <c r="E28" s="6">
        <f>100*Table1[[#This Row],[Multiplier]]</f>
        <v>100</v>
      </c>
      <c r="F28" s="6">
        <f>2*Table1[[#This Row],[100 RPM]]</f>
        <v>200</v>
      </c>
      <c r="G28" s="6">
        <f>3*Table1[[#This Row],[200 RPM]]</f>
        <v>600</v>
      </c>
      <c r="H28" s="4">
        <f>(Table1[[#This Row],[Driver]]+Table1[[#This Row],[Driven]])/48</f>
        <v>0.5</v>
      </c>
    </row>
    <row r="29" spans="1:8" x14ac:dyDescent="0.35">
      <c r="A29" s="6">
        <v>66</v>
      </c>
      <c r="B29">
        <v>60</v>
      </c>
      <c r="C29" s="4">
        <v>1.1000000000000001</v>
      </c>
      <c r="D29" s="2">
        <f>Table1[[#This Row],[Ratio]]</f>
        <v>1.1000000000000001</v>
      </c>
      <c r="E29" s="6">
        <f>100*Table1[[#This Row],[Multiplier]]</f>
        <v>110.00000000000001</v>
      </c>
      <c r="F29" s="6">
        <f>2*Table1[[#This Row],[100 RPM]]</f>
        <v>220.00000000000003</v>
      </c>
      <c r="G29" s="6">
        <f>3*Table1[[#This Row],[200 RPM]]</f>
        <v>660.00000000000011</v>
      </c>
      <c r="H29" s="4">
        <f>(Table1[[#This Row],[Driver]]+Table1[[#This Row],[Driven]])/48</f>
        <v>2.625</v>
      </c>
    </row>
    <row r="30" spans="1:8" x14ac:dyDescent="0.35">
      <c r="A30" s="6">
        <v>84</v>
      </c>
      <c r="B30">
        <v>72</v>
      </c>
      <c r="C30" s="4">
        <v>1.1666666666666667</v>
      </c>
      <c r="D30" s="2">
        <f>Table1[[#This Row],[Ratio]]</f>
        <v>1.1666666666666667</v>
      </c>
      <c r="E30" s="6">
        <f>100*Table1[[#This Row],[Multiplier]]</f>
        <v>116.66666666666667</v>
      </c>
      <c r="F30" s="6">
        <f>2*Table1[[#This Row],[100 RPM]]</f>
        <v>233.33333333333334</v>
      </c>
      <c r="G30" s="6">
        <f>3*Table1[[#This Row],[200 RPM]]</f>
        <v>700</v>
      </c>
      <c r="H30" s="4">
        <f>(Table1[[#This Row],[Driver]]+Table1[[#This Row],[Driven]])/48</f>
        <v>3.25</v>
      </c>
    </row>
    <row r="31" spans="1:8" x14ac:dyDescent="0.35">
      <c r="A31" s="6">
        <v>72</v>
      </c>
      <c r="B31">
        <v>60</v>
      </c>
      <c r="C31" s="4">
        <v>1.2</v>
      </c>
      <c r="D31" s="2">
        <f>Table1[[#This Row],[Ratio]]</f>
        <v>1.2</v>
      </c>
      <c r="E31" s="6">
        <f>100*Table1[[#This Row],[Multiplier]]</f>
        <v>120</v>
      </c>
      <c r="F31" s="6">
        <f>2*Table1[[#This Row],[100 RPM]]</f>
        <v>240</v>
      </c>
      <c r="G31" s="6">
        <f>3*Table1[[#This Row],[200 RPM]]</f>
        <v>720</v>
      </c>
      <c r="H31" s="4">
        <f>(Table1[[#This Row],[Driver]]+Table1[[#This Row],[Driven]])/48</f>
        <v>2.75</v>
      </c>
    </row>
    <row r="32" spans="1:8" x14ac:dyDescent="0.35">
      <c r="A32" s="6">
        <v>60</v>
      </c>
      <c r="B32">
        <v>48</v>
      </c>
      <c r="C32" s="4">
        <v>1.25</v>
      </c>
      <c r="D32" s="2">
        <f>Table1[[#This Row],[Ratio]]</f>
        <v>1.25</v>
      </c>
      <c r="E32" s="6">
        <f>100*Table1[[#This Row],[Multiplier]]</f>
        <v>125</v>
      </c>
      <c r="F32" s="6">
        <f>2*Table1[[#This Row],[100 RPM]]</f>
        <v>250</v>
      </c>
      <c r="G32" s="6">
        <f>3*Table1[[#This Row],[200 RPM]]</f>
        <v>750</v>
      </c>
      <c r="H32" s="4">
        <f>(Table1[[#This Row],[Driver]]+Table1[[#This Row],[Driven]])/48</f>
        <v>2.25</v>
      </c>
    </row>
    <row r="33" spans="1:8" x14ac:dyDescent="0.35">
      <c r="A33" s="6">
        <v>48</v>
      </c>
      <c r="B33">
        <v>36</v>
      </c>
      <c r="C33" s="4">
        <v>1.3333333333333333</v>
      </c>
      <c r="D33" s="2">
        <f>Table1[[#This Row],[Ratio]]</f>
        <v>1.3333333333333333</v>
      </c>
      <c r="E33" s="6">
        <f>100*Table1[[#This Row],[Multiplier]]</f>
        <v>133.33333333333331</v>
      </c>
      <c r="F33" s="6">
        <f>2*Table1[[#This Row],[100 RPM]]</f>
        <v>266.66666666666663</v>
      </c>
      <c r="G33" s="6">
        <f>3*Table1[[#This Row],[200 RPM]]</f>
        <v>799.99999999999989</v>
      </c>
      <c r="H33" s="4">
        <f>(Table1[[#This Row],[Driver]]+Table1[[#This Row],[Driven]])/48</f>
        <v>1.75</v>
      </c>
    </row>
    <row r="34" spans="1:8" x14ac:dyDescent="0.35">
      <c r="A34" s="6">
        <v>84</v>
      </c>
      <c r="B34">
        <v>60</v>
      </c>
      <c r="C34" s="4">
        <v>1.4</v>
      </c>
      <c r="D34" s="2">
        <f>Table1[[#This Row],[Ratio]]</f>
        <v>1.4</v>
      </c>
      <c r="E34" s="6">
        <f>100*Table1[[#This Row],[Multiplier]]</f>
        <v>140</v>
      </c>
      <c r="F34" s="6">
        <f>2*Table1[[#This Row],[100 RPM]]</f>
        <v>280</v>
      </c>
      <c r="G34" s="6">
        <f>3*Table1[[#This Row],[200 RPM]]</f>
        <v>840</v>
      </c>
      <c r="H34" s="4">
        <f>(Table1[[#This Row],[Driver]]+Table1[[#This Row],[Driven]])/48</f>
        <v>3</v>
      </c>
    </row>
    <row r="35" spans="1:8" x14ac:dyDescent="0.35">
      <c r="A35" s="6">
        <v>36</v>
      </c>
      <c r="B35">
        <v>24</v>
      </c>
      <c r="C35" s="4">
        <v>1.5</v>
      </c>
      <c r="D35" s="2">
        <f>Table1[[#This Row],[Ratio]]</f>
        <v>1.5</v>
      </c>
      <c r="E35" s="6">
        <f>100*Table1[[#This Row],[Multiplier]]</f>
        <v>150</v>
      </c>
      <c r="F35" s="6">
        <f>2*Table1[[#This Row],[100 RPM]]</f>
        <v>300</v>
      </c>
      <c r="G35" s="6">
        <f>3*Table1[[#This Row],[200 RPM]]</f>
        <v>900</v>
      </c>
      <c r="H35" s="4">
        <f>(Table1[[#This Row],[Driver]]+Table1[[#This Row],[Driven]])/48</f>
        <v>1.25</v>
      </c>
    </row>
    <row r="36" spans="1:8" x14ac:dyDescent="0.35">
      <c r="A36" s="6">
        <v>66</v>
      </c>
      <c r="B36">
        <v>42</v>
      </c>
      <c r="C36" s="4">
        <v>1.5714285714285714</v>
      </c>
      <c r="D36" s="2">
        <f>Table1[[#This Row],[Ratio]]</f>
        <v>1.5714285714285714</v>
      </c>
      <c r="E36" s="6">
        <f>100*Table1[[#This Row],[Multiplier]]</f>
        <v>157.14285714285714</v>
      </c>
      <c r="F36" s="6">
        <f>2*Table1[[#This Row],[100 RPM]]</f>
        <v>314.28571428571428</v>
      </c>
      <c r="G36" s="6">
        <f>3*Table1[[#This Row],[200 RPM]]</f>
        <v>942.85714285714289</v>
      </c>
      <c r="H36" s="4">
        <f>(Table1[[#This Row],[Driver]]+Table1[[#This Row],[Driven]])/48</f>
        <v>2.25</v>
      </c>
    </row>
    <row r="37" spans="1:8" x14ac:dyDescent="0.35">
      <c r="A37" s="6">
        <v>60</v>
      </c>
      <c r="B37">
        <v>36</v>
      </c>
      <c r="C37" s="4">
        <v>1.6666666666666667</v>
      </c>
      <c r="D37" s="2">
        <f>Table1[[#This Row],[Ratio]]</f>
        <v>1.6666666666666667</v>
      </c>
      <c r="E37" s="6">
        <f>100*Table1[[#This Row],[Multiplier]]</f>
        <v>166.66666666666669</v>
      </c>
      <c r="F37" s="6">
        <f>2*Table1[[#This Row],[100 RPM]]</f>
        <v>333.33333333333337</v>
      </c>
      <c r="G37" s="6">
        <f>3*Table1[[#This Row],[200 RPM]]</f>
        <v>1000.0000000000001</v>
      </c>
      <c r="H37" s="4">
        <f>(Table1[[#This Row],[Driver]]+Table1[[#This Row],[Driven]])/48</f>
        <v>2</v>
      </c>
    </row>
    <row r="38" spans="1:8" x14ac:dyDescent="0.35">
      <c r="A38" s="6">
        <v>84</v>
      </c>
      <c r="B38">
        <v>48</v>
      </c>
      <c r="C38" s="4">
        <v>1.75</v>
      </c>
      <c r="D38" s="2">
        <f>Table1[[#This Row],[Ratio]]</f>
        <v>1.75</v>
      </c>
      <c r="E38" s="6">
        <f>100*Table1[[#This Row],[Multiplier]]</f>
        <v>175</v>
      </c>
      <c r="F38" s="6">
        <f>2*Table1[[#This Row],[100 RPM]]</f>
        <v>350</v>
      </c>
      <c r="G38" s="6">
        <f>3*Table1[[#This Row],[200 RPM]]</f>
        <v>1050</v>
      </c>
      <c r="H38" s="4">
        <f>(Table1[[#This Row],[Driver]]+Table1[[#This Row],[Driven]])/48</f>
        <v>2.75</v>
      </c>
    </row>
    <row r="39" spans="1:8" x14ac:dyDescent="0.35">
      <c r="A39" s="6">
        <v>66</v>
      </c>
      <c r="B39">
        <v>36</v>
      </c>
      <c r="C39" s="4">
        <v>1.8333333333333333</v>
      </c>
      <c r="D39" s="2">
        <f>Table1[[#This Row],[Ratio]]</f>
        <v>1.8333333333333333</v>
      </c>
      <c r="E39" s="6">
        <f>100*Table1[[#This Row],[Multiplier]]</f>
        <v>183.33333333333331</v>
      </c>
      <c r="F39" s="6">
        <f>2*Table1[[#This Row],[100 RPM]]</f>
        <v>366.66666666666663</v>
      </c>
      <c r="G39" s="6">
        <f>3*Table1[[#This Row],[200 RPM]]</f>
        <v>1100</v>
      </c>
      <c r="H39" s="4">
        <f>(Table1[[#This Row],[Driver]]+Table1[[#This Row],[Driven]])/48</f>
        <v>2.125</v>
      </c>
    </row>
    <row r="40" spans="1:8" x14ac:dyDescent="0.35">
      <c r="A40" s="6">
        <v>24</v>
      </c>
      <c r="B40">
        <v>12</v>
      </c>
      <c r="C40" s="4">
        <v>2</v>
      </c>
      <c r="D40" s="2">
        <f>Table1[[#This Row],[Ratio]]</f>
        <v>2</v>
      </c>
      <c r="E40" s="6">
        <f>100*Table1[[#This Row],[Multiplier]]</f>
        <v>200</v>
      </c>
      <c r="F40" s="6">
        <f>2*Table1[[#This Row],[100 RPM]]</f>
        <v>400</v>
      </c>
      <c r="G40" s="6">
        <f>3*Table1[[#This Row],[200 RPM]]</f>
        <v>1200</v>
      </c>
      <c r="H40" s="4">
        <f>(Table1[[#This Row],[Driver]]+Table1[[#This Row],[Driven]])/48</f>
        <v>0.75</v>
      </c>
    </row>
    <row r="41" spans="1:8" x14ac:dyDescent="0.35">
      <c r="A41" s="6">
        <v>66</v>
      </c>
      <c r="B41">
        <v>30</v>
      </c>
      <c r="C41" s="4">
        <v>2.2000000000000002</v>
      </c>
      <c r="D41" s="2">
        <f>Table1[[#This Row],[Ratio]]</f>
        <v>2.2000000000000002</v>
      </c>
      <c r="E41" s="6">
        <f>100*Table1[[#This Row],[Multiplier]]</f>
        <v>220.00000000000003</v>
      </c>
      <c r="F41" s="6">
        <f>2*Table1[[#This Row],[100 RPM]]</f>
        <v>440.00000000000006</v>
      </c>
      <c r="G41" s="6">
        <f>3*Table1[[#This Row],[200 RPM]]</f>
        <v>1320.0000000000002</v>
      </c>
      <c r="H41" s="4">
        <f>(Table1[[#This Row],[Driver]]+Table1[[#This Row],[Driven]])/48</f>
        <v>2</v>
      </c>
    </row>
    <row r="42" spans="1:8" x14ac:dyDescent="0.35">
      <c r="A42" s="6">
        <v>84</v>
      </c>
      <c r="B42">
        <v>36</v>
      </c>
      <c r="C42" s="4">
        <v>2.3333333333333335</v>
      </c>
      <c r="D42" s="2">
        <f>Table1[[#This Row],[Ratio]]</f>
        <v>2.3333333333333335</v>
      </c>
      <c r="E42" s="6">
        <f>100*Table1[[#This Row],[Multiplier]]</f>
        <v>233.33333333333334</v>
      </c>
      <c r="F42" s="6">
        <f>2*Table1[[#This Row],[100 RPM]]</f>
        <v>466.66666666666669</v>
      </c>
      <c r="G42" s="6">
        <f>3*Table1[[#This Row],[200 RPM]]</f>
        <v>1400</v>
      </c>
      <c r="H42" s="4">
        <f>(Table1[[#This Row],[Driver]]+Table1[[#This Row],[Driven]])/48</f>
        <v>2.5</v>
      </c>
    </row>
    <row r="43" spans="1:8" x14ac:dyDescent="0.35">
      <c r="A43" s="6">
        <v>60</v>
      </c>
      <c r="B43">
        <v>24</v>
      </c>
      <c r="C43" s="4">
        <v>2.5</v>
      </c>
      <c r="D43" s="2">
        <f>Table1[[#This Row],[Ratio]]</f>
        <v>2.5</v>
      </c>
      <c r="E43" s="6">
        <f>100*Table1[[#This Row],[Multiplier]]</f>
        <v>250</v>
      </c>
      <c r="F43" s="6">
        <f>2*Table1[[#This Row],[100 RPM]]</f>
        <v>500</v>
      </c>
      <c r="G43" s="6">
        <f>3*Table1[[#This Row],[200 RPM]]</f>
        <v>1500</v>
      </c>
      <c r="H43" s="4">
        <f>(Table1[[#This Row],[Driver]]+Table1[[#This Row],[Driven]])/48</f>
        <v>1.75</v>
      </c>
    </row>
    <row r="44" spans="1:8" x14ac:dyDescent="0.35">
      <c r="A44" s="6">
        <v>36</v>
      </c>
      <c r="B44">
        <v>12</v>
      </c>
      <c r="C44" s="4">
        <v>3</v>
      </c>
      <c r="D44" s="2">
        <f>Table1[[#This Row],[Ratio]]</f>
        <v>3</v>
      </c>
      <c r="E44" s="6">
        <f>100*Table1[[#This Row],[Multiplier]]</f>
        <v>300</v>
      </c>
      <c r="F44" s="6">
        <f>2*Table1[[#This Row],[100 RPM]]</f>
        <v>600</v>
      </c>
      <c r="G44" s="6">
        <f>3*Table1[[#This Row],[200 RPM]]</f>
        <v>1800</v>
      </c>
      <c r="H44" s="4">
        <f>(Table1[[#This Row],[Driver]]+Table1[[#This Row],[Driven]])/48</f>
        <v>1</v>
      </c>
    </row>
    <row r="45" spans="1:8" x14ac:dyDescent="0.35">
      <c r="A45" s="6">
        <v>84</v>
      </c>
      <c r="B45">
        <v>24</v>
      </c>
      <c r="C45" s="4">
        <v>3.5</v>
      </c>
      <c r="D45" s="2">
        <f>Table1[[#This Row],[Ratio]]</f>
        <v>3.5</v>
      </c>
      <c r="E45" s="6">
        <f>100*Table1[[#This Row],[Multiplier]]</f>
        <v>350</v>
      </c>
      <c r="F45" s="6">
        <f>2*Table1[[#This Row],[100 RPM]]</f>
        <v>700</v>
      </c>
      <c r="G45" s="6">
        <f>3*Table1[[#This Row],[200 RPM]]</f>
        <v>2100</v>
      </c>
      <c r="H45" s="4">
        <f>(Table1[[#This Row],[Driver]]+Table1[[#This Row],[Driven]])/48</f>
        <v>2.25</v>
      </c>
    </row>
    <row r="46" spans="1:8" x14ac:dyDescent="0.35">
      <c r="A46" s="6">
        <v>48</v>
      </c>
      <c r="B46">
        <v>12</v>
      </c>
      <c r="C46" s="4">
        <v>4</v>
      </c>
      <c r="D46" s="2">
        <f>Table1[[#This Row],[Ratio]]</f>
        <v>4</v>
      </c>
      <c r="E46" s="6">
        <f>100*Table1[[#This Row],[Multiplier]]</f>
        <v>400</v>
      </c>
      <c r="F46" s="6">
        <f>2*Table1[[#This Row],[100 RPM]]</f>
        <v>800</v>
      </c>
      <c r="G46" s="6">
        <f>3*Table1[[#This Row],[200 RPM]]</f>
        <v>2400</v>
      </c>
      <c r="H46" s="4">
        <f>(Table1[[#This Row],[Driver]]+Table1[[#This Row],[Driven]])/48</f>
        <v>1.25</v>
      </c>
    </row>
    <row r="47" spans="1:8" x14ac:dyDescent="0.35">
      <c r="A47" s="6">
        <v>60</v>
      </c>
      <c r="B47">
        <v>12</v>
      </c>
      <c r="C47" s="4">
        <v>5</v>
      </c>
      <c r="D47" s="2">
        <f>Table1[[#This Row],[Ratio]]</f>
        <v>5</v>
      </c>
      <c r="E47" s="6">
        <f>100*Table1[[#This Row],[Multiplier]]</f>
        <v>500</v>
      </c>
      <c r="F47" s="6">
        <f>2*Table1[[#This Row],[100 RPM]]</f>
        <v>1000</v>
      </c>
      <c r="G47" s="6">
        <f>3*Table1[[#This Row],[200 RPM]]</f>
        <v>3000</v>
      </c>
      <c r="H47" s="4">
        <f>(Table1[[#This Row],[Driver]]+Table1[[#This Row],[Driven]])/48</f>
        <v>1.5</v>
      </c>
    </row>
    <row r="48" spans="1:8" x14ac:dyDescent="0.35">
      <c r="A48" s="6">
        <v>72</v>
      </c>
      <c r="B48">
        <v>12</v>
      </c>
      <c r="C48" s="4">
        <v>6</v>
      </c>
      <c r="D48" s="2">
        <f>Table1[[#This Row],[Ratio]]</f>
        <v>6</v>
      </c>
      <c r="E48" s="6">
        <f>100*Table1[[#This Row],[Multiplier]]</f>
        <v>600</v>
      </c>
      <c r="F48" s="6">
        <f>2*Table1[[#This Row],[100 RPM]]</f>
        <v>1200</v>
      </c>
      <c r="G48" s="6">
        <f>3*Table1[[#This Row],[200 RPM]]</f>
        <v>3600</v>
      </c>
      <c r="H48" s="4">
        <f>(Table1[[#This Row],[Driver]]+Table1[[#This Row],[Driven]])/48</f>
        <v>1.75</v>
      </c>
    </row>
    <row r="49" spans="1:8" x14ac:dyDescent="0.35">
      <c r="A49" s="6">
        <v>84</v>
      </c>
      <c r="B49">
        <v>12</v>
      </c>
      <c r="C49" s="4">
        <v>7</v>
      </c>
      <c r="D49" s="2">
        <f>Table1[[#This Row],[Ratio]]</f>
        <v>7</v>
      </c>
      <c r="E49" s="6">
        <f>100*Table1[[#This Row],[Multiplier]]</f>
        <v>700</v>
      </c>
      <c r="F49" s="6">
        <f>2*Table1[[#This Row],[100 RPM]]</f>
        <v>1400</v>
      </c>
      <c r="G49" s="6">
        <f>3*Table1[[#This Row],[200 RPM]]</f>
        <v>4200</v>
      </c>
      <c r="H49" s="4">
        <f>(Table1[[#This Row],[Driver]]+Table1[[#This Row],[Driven]])/48</f>
        <v>2</v>
      </c>
    </row>
  </sheetData>
  <conditionalFormatting sqref="E2:G49">
    <cfRule type="colorScale" priority="1">
      <colorScale>
        <cfvo type="percentile" val="10"/>
        <cfvo type="percentile" val="43.5"/>
        <cfvo type="percentile" val="75"/>
        <color rgb="FFC00000"/>
        <color theme="9"/>
        <color theme="7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677D5C-6337-4491-B487-450F0E4E0D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Tripton Hazlett</dc:creator>
  <cp:lastModifiedBy>Tripton Hazlett</cp:lastModifiedBy>
  <dcterms:created xsi:type="dcterms:W3CDTF">2026-07-13T01:58:28Z</dcterms:created>
  <dcterms:modified xsi:type="dcterms:W3CDTF">2026-07-13T03:04:20Z</dcterms:modified>
</cp:coreProperties>
</file>